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&amp; Scenario's" sheetId="1" state="visible" r:id="rId1"/>
    <sheet xmlns:r="http://schemas.openxmlformats.org/officeDocument/2006/relationships" name="COGS Detail" sheetId="2" state="visible" r:id="rId2"/>
    <sheet xmlns:r="http://schemas.openxmlformats.org/officeDocument/2006/relationships" name="Uitgaven &amp; Inkoop" sheetId="3" state="visible" r:id="rId3"/>
    <sheet xmlns:r="http://schemas.openxmlformats.org/officeDocument/2006/relationships" name="Investeringen" sheetId="4" state="visible" r:id="rId4"/>
    <sheet xmlns:r="http://schemas.openxmlformats.org/officeDocument/2006/relationships" name="Verzendkosten" sheetId="5" state="visible" r:id="rId5"/>
    <sheet xmlns:r="http://schemas.openxmlformats.org/officeDocument/2006/relationships" name="Vrienden &amp; Afhaling" sheetId="6" state="visible" r:id="rId6"/>
    <sheet xmlns:r="http://schemas.openxmlformats.org/officeDocument/2006/relationships" name="B2B Klimzalen &amp; R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64748B"/>
      <sz val="9"/>
    </font>
    <font>
      <name val="Arial"/>
      <b val="1"/>
      <color rgb="000F172A"/>
      <sz val="10"/>
    </font>
    <font>
      <name val="Arial"/>
      <b val="1"/>
      <color rgb="00FFFFFF"/>
      <sz val="10"/>
    </font>
    <font>
      <name val="Arial"/>
      <color rgb="00334155"/>
      <sz val="10"/>
    </font>
    <font>
      <name val="Arial"/>
      <b val="1"/>
      <color rgb="0015803D"/>
      <sz val="11"/>
    </font>
  </fonts>
  <fills count="8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double">
        <color rgb="000F172A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165" fontId="6" fillId="5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0" borderId="1" pivotButton="0" quotePrefix="0" xfId="0"/>
    <xf numFmtId="164" fontId="5" fillId="0" borderId="1" pivotButton="0" quotePrefix="0" xfId="0"/>
    <xf numFmtId="3" fontId="0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1" fillId="0" borderId="2" pivotButton="0" quotePrefix="0" xfId="0"/>
    <xf numFmtId="0" fontId="2" fillId="0" borderId="2" pivotButton="0" quotePrefix="0" xfId="0"/>
    <xf numFmtId="0" fontId="0" fillId="0" borderId="2" applyAlignment="1" pivotButton="0" quotePrefix="0" xfId="0">
      <alignment horizontal="center" vertical="center"/>
    </xf>
    <xf numFmtId="164" fontId="3" fillId="2" borderId="2" pivotButton="0" quotePrefix="0" xfId="0"/>
    <xf numFmtId="0" fontId="6" fillId="0" borderId="2" pivotButton="0" quotePrefix="0" xfId="0"/>
    <xf numFmtId="164" fontId="3" fillId="2" borderId="1" pivotButton="0" quotePrefix="0" xfId="0"/>
    <xf numFmtId="0" fontId="3" fillId="0" borderId="2" pivotButton="0" quotePrefix="0" xfId="0"/>
    <xf numFmtId="0" fontId="0" fillId="0" borderId="2" pivotButton="0" quotePrefix="0" xfId="0"/>
    <xf numFmtId="164" fontId="6" fillId="5" borderId="2" pivotButton="0" quotePrefix="0" xfId="0"/>
    <xf numFmtId="0" fontId="4" fillId="4" borderId="0" pivotButton="0" quotePrefix="0" xfId="0"/>
    <xf numFmtId="165" fontId="0" fillId="0" borderId="1" applyAlignment="1" pivotButton="0" quotePrefix="0" xfId="0">
      <alignment horizontal="center" vertical="center"/>
    </xf>
    <xf numFmtId="165" fontId="3" fillId="0" borderId="2" pivotButton="0" quotePrefix="0" xfId="0"/>
    <xf numFmtId="0" fontId="4" fillId="6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4" fillId="7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👑 SLOPER KING™ — OVERZICHT &amp; SCENARIO ANALYSE (SINGLE VS. PAIR)</t>
        </is>
      </c>
    </row>
    <row r="2">
      <c r="A2" s="2" t="inlineStr">
        <is>
          <t>D2C Webshop verkoop | Uitsplitsing per producttype (Single Unit vs. Complete Pair) per scenario</t>
        </is>
      </c>
    </row>
    <row r="3">
      <c r="C3" s="3" t="inlineStr">
        <is>
          <t>SCENARIO 1 (10 Single / 10 Pair)</t>
        </is>
      </c>
      <c r="D3" s="4" t="n"/>
      <c r="E3" s="3" t="inlineStr">
        <is>
          <t>SCENARIO 2 (20 Single / 20 Pair)</t>
        </is>
      </c>
      <c r="F3" s="4" t="n"/>
      <c r="G3" s="3" t="inlineStr">
        <is>
          <t>SCENARIO 3 (30 Single / 30 Pair)</t>
        </is>
      </c>
      <c r="H3" s="4" t="n"/>
    </row>
    <row r="4">
      <c r="A4" s="5" t="inlineStr">
        <is>
          <t>Parameter / Kostenpost</t>
        </is>
      </c>
      <c r="B4" s="5" t="inlineStr">
        <is>
          <t>Bron / Eenheid</t>
        </is>
      </c>
      <c r="C4" s="3" t="inlineStr">
        <is>
          <t>Single (10x)</t>
        </is>
      </c>
      <c r="D4" s="3" t="inlineStr">
        <is>
          <t>Pair (10x)</t>
        </is>
      </c>
      <c r="E4" s="3" t="inlineStr">
        <is>
          <t>Single (20x)</t>
        </is>
      </c>
      <c r="F4" s="3" t="inlineStr">
        <is>
          <t>Pair (20x)</t>
        </is>
      </c>
      <c r="G4" s="3" t="inlineStr">
        <is>
          <t>Single (30x)</t>
        </is>
      </c>
      <c r="H4" s="3" t="inlineStr">
        <is>
          <t>Pair (30x)</t>
        </is>
      </c>
    </row>
    <row r="5">
      <c r="A5" s="6" t="inlineStr">
        <is>
          <t>VERKOOPVOLUMES (PER MAAND)</t>
        </is>
      </c>
    </row>
    <row r="6">
      <c r="A6" s="7" t="inlineStr">
        <is>
          <t>Verkocht Volume (Orders / mnd)</t>
        </is>
      </c>
      <c r="B6" s="8" t="inlineStr">
        <is>
          <t>stuks/mnd</t>
        </is>
      </c>
      <c r="C6" s="9" t="n">
        <v>10</v>
      </c>
      <c r="D6" s="9" t="n">
        <v>10</v>
      </c>
      <c r="E6" s="9" t="n">
        <v>20</v>
      </c>
      <c r="F6" s="9" t="n">
        <v>20</v>
      </c>
      <c r="G6" s="9" t="n">
        <v>30</v>
      </c>
      <c r="H6" s="9" t="n">
        <v>30</v>
      </c>
    </row>
    <row r="7">
      <c r="A7" s="6" t="inlineStr">
        <is>
          <t>UNIT ECONOMICS &amp; PRIJZEN</t>
        </is>
      </c>
    </row>
    <row r="8">
      <c r="A8" s="7" t="inlineStr">
        <is>
          <t>Verkoopprijs per Unit</t>
        </is>
      </c>
      <c r="B8" s="8" t="inlineStr">
        <is>
          <t>EUR / stuk</t>
        </is>
      </c>
      <c r="C8" s="10" t="n">
        <v>24.95</v>
      </c>
      <c r="D8" s="10" t="n">
        <v>44.95</v>
      </c>
      <c r="E8" s="10" t="n">
        <v>24.95</v>
      </c>
      <c r="F8" s="10" t="n">
        <v>44.95</v>
      </c>
      <c r="G8" s="10" t="n">
        <v>24.95</v>
      </c>
      <c r="H8" s="10" t="n">
        <v>44.95</v>
      </c>
    </row>
    <row r="9">
      <c r="A9" s="7" t="inlineStr">
        <is>
          <t>COGS per Unit (Materiaalkost)</t>
        </is>
      </c>
      <c r="B9" s="8" t="inlineStr">
        <is>
          <t>EUR / stuk</t>
        </is>
      </c>
      <c r="C9" s="10">
        <f>'COGS Detail'!E13</f>
        <v/>
      </c>
      <c r="D9" s="10">
        <f>'COGS Detail'!G13</f>
        <v/>
      </c>
      <c r="E9" s="10">
        <f>'COGS Detail'!E13</f>
        <v/>
      </c>
      <c r="F9" s="10">
        <f>'COGS Detail'!G13</f>
        <v/>
      </c>
      <c r="G9" s="10">
        <f>'COGS Detail'!E13</f>
        <v/>
      </c>
      <c r="H9" s="10">
        <f>'COGS Detail'!G13</f>
        <v/>
      </c>
    </row>
    <row r="10">
      <c r="A10" s="7" t="inlineStr">
        <is>
          <t>Stripe Transactiekost per Order</t>
        </is>
      </c>
      <c r="B10" s="8" t="inlineStr">
        <is>
          <t>EUR / order</t>
        </is>
      </c>
      <c r="C10" s="10">
        <f>C8*0.015+0.25</f>
        <v/>
      </c>
      <c r="D10" s="10">
        <f>D8*0.015+0.25</f>
        <v/>
      </c>
      <c r="E10" s="10">
        <f>E8*0.015+0.25</f>
        <v/>
      </c>
      <c r="F10" s="10">
        <f>F8*0.015+0.25</f>
        <v/>
      </c>
      <c r="G10" s="10">
        <f>G8*0.015+0.25</f>
        <v/>
      </c>
      <c r="H10" s="10">
        <f>H8*0.015+0.25</f>
        <v/>
      </c>
    </row>
    <row r="11">
      <c r="A11" s="7" t="inlineStr">
        <is>
          <t>Gemiddelde Verzendsubsidie per order</t>
        </is>
      </c>
      <c r="B11" s="8" t="inlineStr">
        <is>
          <t>EUR / order</t>
        </is>
      </c>
      <c r="C11" s="10">
        <f>'Verzendkosten'!G15</f>
        <v/>
      </c>
      <c r="D11" s="10">
        <f>'Verzendkosten'!G15</f>
        <v/>
      </c>
      <c r="E11" s="10">
        <f>'Verzendkosten'!G15</f>
        <v/>
      </c>
      <c r="F11" s="10">
        <f>'Verzendkosten'!G15</f>
        <v/>
      </c>
      <c r="G11" s="10">
        <f>'Verzendkosten'!G15</f>
        <v/>
      </c>
      <c r="H11" s="10">
        <f>'Verzendkosten'!G15</f>
        <v/>
      </c>
    </row>
    <row r="12">
      <c r="A12" s="6" t="inlineStr">
        <is>
          <t>1. INKOMSTEN (BRUTO OMZET)</t>
        </is>
      </c>
    </row>
    <row r="13">
      <c r="A13" s="7" t="inlineStr">
        <is>
          <t>Bruto Omzet per Maand</t>
        </is>
      </c>
      <c r="B13" s="8" t="inlineStr">
        <is>
          <t>EUR / mnd</t>
        </is>
      </c>
      <c r="C13" s="10">
        <f>C6*C8</f>
        <v/>
      </c>
      <c r="D13" s="10">
        <f>D6*D8</f>
        <v/>
      </c>
      <c r="E13" s="10">
        <f>E6*E8</f>
        <v/>
      </c>
      <c r="F13" s="10">
        <f>F6*F8</f>
        <v/>
      </c>
      <c r="G13" s="10">
        <f>G6*G8</f>
        <v/>
      </c>
      <c r="H13" s="10">
        <f>H6*H8</f>
        <v/>
      </c>
    </row>
    <row r="14">
      <c r="A14" s="7" t="inlineStr">
        <is>
          <t>Bruto Omzet per Jaar</t>
        </is>
      </c>
      <c r="B14" s="8" t="inlineStr">
        <is>
          <t>EUR / jaar</t>
        </is>
      </c>
      <c r="C14" s="10">
        <f>C13*12</f>
        <v/>
      </c>
      <c r="D14" s="10">
        <f>D13*12</f>
        <v/>
      </c>
      <c r="E14" s="10">
        <f>E13*12</f>
        <v/>
      </c>
      <c r="F14" s="10">
        <f>F13*12</f>
        <v/>
      </c>
      <c r="G14" s="10">
        <f>G13*12</f>
        <v/>
      </c>
      <c r="H14" s="10">
        <f>H13*12</f>
        <v/>
      </c>
    </row>
    <row r="15">
      <c r="A15" s="6" t="inlineStr">
        <is>
          <t>2. KOSTEN OVERZICHT (PER TYPE &amp; VERDEELD)</t>
        </is>
      </c>
    </row>
    <row r="16">
      <c r="A16" s="7" t="inlineStr">
        <is>
          <t>Productiekosten (COGS)</t>
        </is>
      </c>
      <c r="B16" s="8" t="inlineStr">
        <is>
          <t>EUR / mnd</t>
        </is>
      </c>
      <c r="C16" s="10">
        <f>C6*C9</f>
        <v/>
      </c>
      <c r="D16" s="10">
        <f>D6*D9</f>
        <v/>
      </c>
      <c r="E16" s="10">
        <f>E6*E9</f>
        <v/>
      </c>
      <c r="F16" s="10">
        <f>F6*F9</f>
        <v/>
      </c>
      <c r="G16" s="10">
        <f>G6*G9</f>
        <v/>
      </c>
      <c r="H16" s="10">
        <f>H6*H9</f>
        <v/>
      </c>
    </row>
    <row r="17">
      <c r="A17" s="7" t="inlineStr">
        <is>
          <t>Stripe Betalingskosten</t>
        </is>
      </c>
      <c r="B17" s="8" t="inlineStr">
        <is>
          <t>EUR / mnd</t>
        </is>
      </c>
      <c r="C17" s="10">
        <f>C6*C10</f>
        <v/>
      </c>
      <c r="D17" s="10">
        <f>D6*D10</f>
        <v/>
      </c>
      <c r="E17" s="10">
        <f>E6*E10</f>
        <v/>
      </c>
      <c r="F17" s="10">
        <f>F6*F10</f>
        <v/>
      </c>
      <c r="G17" s="10">
        <f>G6*G10</f>
        <v/>
      </c>
      <c r="H17" s="10">
        <f>H6*H10</f>
        <v/>
      </c>
    </row>
    <row r="18">
      <c r="A18" s="7" t="inlineStr">
        <is>
          <t>Verzendsubsidie &amp; Logistiek</t>
        </is>
      </c>
      <c r="B18" s="8" t="inlineStr">
        <is>
          <t>EUR / mnd</t>
        </is>
      </c>
      <c r="C18" s="10">
        <f>C6*C11</f>
        <v/>
      </c>
      <c r="D18" s="10">
        <f>D6*D11</f>
        <v/>
      </c>
      <c r="E18" s="10">
        <f>E6*E11</f>
        <v/>
      </c>
      <c r="F18" s="10">
        <f>F6*F11</f>
        <v/>
      </c>
      <c r="G18" s="10">
        <f>G6*G11</f>
        <v/>
      </c>
      <c r="H18" s="10">
        <f>H6*H11</f>
        <v/>
      </c>
    </row>
    <row r="19">
      <c r="A19" s="7" t="inlineStr">
        <is>
          <t>Social Media Marketing (Meta Ads split)</t>
        </is>
      </c>
      <c r="B19" s="8" t="inlineStr">
        <is>
          <t>EUR / mnd</t>
        </is>
      </c>
      <c r="C19" s="10" t="n">
        <v>50</v>
      </c>
      <c r="D19" s="10" t="n">
        <v>50</v>
      </c>
      <c r="E19" s="10" t="n">
        <v>125</v>
      </c>
      <c r="F19" s="10" t="n">
        <v>125</v>
      </c>
      <c r="G19" s="10" t="n">
        <v>225</v>
      </c>
      <c r="H19" s="10" t="n">
        <v>225</v>
      </c>
    </row>
    <row r="20">
      <c r="A20" s="7" t="inlineStr">
        <is>
          <t>Vaste Kosten &amp; Afschrijving (50/50 split)</t>
        </is>
      </c>
      <c r="B20" s="8" t="inlineStr">
        <is>
          <t>EUR / mnd</t>
        </is>
      </c>
      <c r="C20" s="10">
        <f>'Investeringen'!F14/2</f>
        <v/>
      </c>
      <c r="D20" s="10">
        <f>'Investeringen'!F14/2</f>
        <v/>
      </c>
      <c r="E20" s="10">
        <f>'Investeringen'!F14/2</f>
        <v/>
      </c>
      <c r="F20" s="10">
        <f>'Investeringen'!F14/2</f>
        <v/>
      </c>
      <c r="G20" s="10">
        <f>'Investeringen'!F14/2</f>
        <v/>
      </c>
      <c r="H20" s="10">
        <f>'Investeringen'!F14/2</f>
        <v/>
      </c>
    </row>
    <row r="21">
      <c r="A21" s="7" t="inlineStr">
        <is>
          <t>TOTALE KOSTEN PER MAAND</t>
        </is>
      </c>
      <c r="B21" s="8" t="inlineStr">
        <is>
          <t>EUR / mnd</t>
        </is>
      </c>
      <c r="C21" s="10">
        <f>SUM(C16:C20)</f>
        <v/>
      </c>
      <c r="D21" s="10">
        <f>SUM(D16:D20)</f>
        <v/>
      </c>
      <c r="E21" s="10">
        <f>SUM(E16:E20)</f>
        <v/>
      </c>
      <c r="F21" s="10">
        <f>SUM(F16:F20)</f>
        <v/>
      </c>
      <c r="G21" s="10">
        <f>SUM(G16:G20)</f>
        <v/>
      </c>
      <c r="H21" s="10">
        <f>SUM(H16:H20)</f>
        <v/>
      </c>
    </row>
    <row r="22">
      <c r="A22" s="7" t="inlineStr">
        <is>
          <t>TOTALE KOSTEN PER JAAR</t>
        </is>
      </c>
      <c r="B22" s="8" t="inlineStr">
        <is>
          <t>EUR / jaar</t>
        </is>
      </c>
      <c r="C22" s="10">
        <f>C21*12</f>
        <v/>
      </c>
      <c r="D22" s="10">
        <f>D21*12</f>
        <v/>
      </c>
      <c r="E22" s="10">
        <f>E21*12</f>
        <v/>
      </c>
      <c r="F22" s="10">
        <f>F21*12</f>
        <v/>
      </c>
      <c r="G22" s="10">
        <f>G21*12</f>
        <v/>
      </c>
      <c r="H22" s="10">
        <f>H21*12</f>
        <v/>
      </c>
    </row>
    <row r="23">
      <c r="A23" s="6" t="inlineStr">
        <is>
          <t>3. NETTO RESULTAAT PER PRODUCTTYPE</t>
        </is>
      </c>
    </row>
    <row r="24">
      <c r="A24" s="11" t="inlineStr">
        <is>
          <t>NETTO WINST PER MAAND</t>
        </is>
      </c>
      <c r="B24" s="8" t="inlineStr">
        <is>
          <t>EUR / mnd</t>
        </is>
      </c>
      <c r="C24" s="12">
        <f>C13-C21</f>
        <v/>
      </c>
      <c r="D24" s="12">
        <f>D13-D21</f>
        <v/>
      </c>
      <c r="E24" s="12">
        <f>E13-E21</f>
        <v/>
      </c>
      <c r="F24" s="12">
        <f>F13-F21</f>
        <v/>
      </c>
      <c r="G24" s="12">
        <f>G13-G21</f>
        <v/>
      </c>
      <c r="H24" s="12">
        <f>H13-H21</f>
        <v/>
      </c>
    </row>
    <row r="25">
      <c r="A25" s="11" t="inlineStr">
        <is>
          <t>NETTO WINST PER JAAR</t>
        </is>
      </c>
      <c r="B25" s="8" t="inlineStr">
        <is>
          <t>EUR / jaar</t>
        </is>
      </c>
      <c r="C25" s="12">
        <f>C24*12</f>
        <v/>
      </c>
      <c r="D25" s="12">
        <f>D24*12</f>
        <v/>
      </c>
      <c r="E25" s="12">
        <f>E24*12</f>
        <v/>
      </c>
      <c r="F25" s="12">
        <f>F24*12</f>
        <v/>
      </c>
      <c r="G25" s="12">
        <f>G24*12</f>
        <v/>
      </c>
      <c r="H25" s="12">
        <f>H24*12</f>
        <v/>
      </c>
    </row>
    <row r="26">
      <c r="A26" s="11" t="inlineStr">
        <is>
          <t>NETTO WINSTMARGE (%)</t>
        </is>
      </c>
      <c r="B26" s="8" t="inlineStr">
        <is>
          <t>%</t>
        </is>
      </c>
      <c r="C26" s="13">
        <f>C24/C13</f>
        <v/>
      </c>
      <c r="D26" s="13">
        <f>D24/D13</f>
        <v/>
      </c>
      <c r="E26" s="13">
        <f>E24/E13</f>
        <v/>
      </c>
      <c r="F26" s="13">
        <f>F24/F13</f>
        <v/>
      </c>
      <c r="G26" s="13">
        <f>G24/G13</f>
        <v/>
      </c>
      <c r="H26" s="13">
        <f>H24/H13</f>
        <v/>
      </c>
    </row>
    <row r="27">
      <c r="A27" s="6" t="inlineStr">
        <is>
          <t>4. GECOMBINEERD SCENARIO TOTAAL (SINGLE + PAIR SAMEN)</t>
        </is>
      </c>
    </row>
    <row r="28">
      <c r="A28" s="11" t="inlineStr">
        <is>
          <t>Totale Gecombineerde Omzet / Maand</t>
        </is>
      </c>
      <c r="B28" s="8" t="inlineStr">
        <is>
          <t>EUR / mnd</t>
        </is>
      </c>
      <c r="C28" s="14">
        <f>C13+D13</f>
        <v/>
      </c>
      <c r="D28" s="15" t="n"/>
      <c r="E28" s="14">
        <f>E13+F13</f>
        <v/>
      </c>
      <c r="F28" s="15" t="n"/>
      <c r="G28" s="14">
        <f>G13+H13</f>
        <v/>
      </c>
      <c r="H28" s="15" t="n"/>
    </row>
    <row r="29">
      <c r="A29" s="11" t="inlineStr">
        <is>
          <t>Totale Gecombineerde Kosten / Maand</t>
        </is>
      </c>
      <c r="B29" s="8" t="inlineStr">
        <is>
          <t>EUR / mnd</t>
        </is>
      </c>
      <c r="C29" s="14">
        <f>C21+D21</f>
        <v/>
      </c>
      <c r="D29" s="15" t="n"/>
      <c r="E29" s="14">
        <f>E21+F21</f>
        <v/>
      </c>
      <c r="F29" s="15" t="n"/>
      <c r="G29" s="14">
        <f>G21+H21</f>
        <v/>
      </c>
      <c r="H29" s="15" t="n"/>
    </row>
    <row r="30">
      <c r="A30" s="11" t="inlineStr">
        <is>
          <t>TOTALE NETTO WINST PER MAAND</t>
        </is>
      </c>
      <c r="B30" s="8" t="inlineStr">
        <is>
          <t>EUR / mnd</t>
        </is>
      </c>
      <c r="C30" s="12">
        <f>C24+D24</f>
        <v/>
      </c>
      <c r="D30" s="16" t="n"/>
      <c r="E30" s="12">
        <f>E24+F24</f>
        <v/>
      </c>
      <c r="F30" s="16" t="n"/>
      <c r="G30" s="12">
        <f>G24+H24</f>
        <v/>
      </c>
      <c r="H30" s="16" t="n"/>
    </row>
    <row r="31">
      <c r="A31" s="11" t="inlineStr">
        <is>
          <t>TOTALE NETTO WINST PER JAAR</t>
        </is>
      </c>
      <c r="B31" s="8" t="inlineStr">
        <is>
          <t>EUR / jaar</t>
        </is>
      </c>
      <c r="C31" s="12">
        <f>C30*12</f>
        <v/>
      </c>
      <c r="D31" s="16" t="n"/>
      <c r="E31" s="12">
        <f>E30*12</f>
        <v/>
      </c>
      <c r="F31" s="16" t="n"/>
      <c r="G31" s="12">
        <f>G30*12</f>
        <v/>
      </c>
      <c r="H31" s="16" t="n"/>
    </row>
    <row r="32">
      <c r="A32" s="11" t="inlineStr">
        <is>
          <t>GEZAMENLIJKE WINSTMARGE (%)</t>
        </is>
      </c>
      <c r="B32" s="8" t="inlineStr">
        <is>
          <t>%</t>
        </is>
      </c>
      <c r="C32" s="17">
        <f>C30/C28</f>
        <v/>
      </c>
      <c r="D32" s="15" t="n"/>
      <c r="E32" s="17">
        <f>E30/E28</f>
        <v/>
      </c>
      <c r="F32" s="15" t="n"/>
      <c r="G32" s="17">
        <f>G30/G28</f>
        <v/>
      </c>
      <c r="H32" s="15" t="n"/>
    </row>
  </sheetData>
  <mergeCells count="24">
    <mergeCell ref="C30:D30"/>
    <mergeCell ref="A15:H15"/>
    <mergeCell ref="C29:D29"/>
    <mergeCell ref="A7:H7"/>
    <mergeCell ref="E29:F29"/>
    <mergeCell ref="E28:F28"/>
    <mergeCell ref="G28:H28"/>
    <mergeCell ref="C31:D31"/>
    <mergeCell ref="A27:H27"/>
    <mergeCell ref="G3:H3"/>
    <mergeCell ref="E31:F31"/>
    <mergeCell ref="A12:H12"/>
    <mergeCell ref="E30:F30"/>
    <mergeCell ref="G30:H30"/>
    <mergeCell ref="A5:H5"/>
    <mergeCell ref="A23:H23"/>
    <mergeCell ref="G29:H29"/>
    <mergeCell ref="C32:D32"/>
    <mergeCell ref="E32:F32"/>
    <mergeCell ref="G32:H32"/>
    <mergeCell ref="C28:D28"/>
    <mergeCell ref="G31:H31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>
      <c r="A1" s="1" t="inlineStr">
        <is>
          <t>🔬 COGS DETAIL &amp; STUKSPRIJS BEREKENING</t>
        </is>
      </c>
    </row>
    <row r="2">
      <c r="A2" s="2" t="inlineStr">
        <is>
          <t>Exacte materiaalkosten per onderdeel en vergelijking Single Unit vs. Complete Pair</t>
        </is>
      </c>
    </row>
    <row r="3"/>
    <row r="4">
      <c r="A4" s="18" t="inlineStr">
        <is>
          <t>Onderdeel / Materiaal</t>
        </is>
      </c>
      <c r="B4" s="18" t="inlineStr">
        <is>
          <t>Specificatie &amp; Leverancier</t>
        </is>
      </c>
      <c r="C4" s="18" t="inlineStr">
        <is>
          <t>Basiskost per Item</t>
        </is>
      </c>
      <c r="D4" s="18" t="inlineStr">
        <is>
          <t>Aantal Single (1x)</t>
        </is>
      </c>
      <c r="E4" s="18" t="inlineStr">
        <is>
          <t>Kost Single (1x)</t>
        </is>
      </c>
      <c r="F4" s="18" t="inlineStr">
        <is>
          <t>Aantal Pair (2x)</t>
        </is>
      </c>
      <c r="G4" s="18" t="inlineStr">
        <is>
          <t>Kost Pair (2x)</t>
        </is>
      </c>
      <c r="H4" s="18" t="inlineStr">
        <is>
          <t>Opmerking</t>
        </is>
      </c>
    </row>
    <row r="5">
      <c r="A5" s="11" t="inlineStr">
        <is>
          <t>PLA Filament</t>
        </is>
      </c>
      <c r="B5" s="19" t="inlineStr">
        <is>
          <t>eSUN / Bambu Lab (~76g/unit)</t>
        </is>
      </c>
      <c r="C5" s="20" t="n">
        <v>0.9399999999999999</v>
      </c>
      <c r="D5" s="21" t="n">
        <v>1</v>
      </c>
      <c r="E5" s="22">
        <f>C5*D5</f>
        <v/>
      </c>
      <c r="F5" s="21" t="n">
        <v>2</v>
      </c>
      <c r="G5" s="22">
        <f>C5*F5</f>
        <v/>
      </c>
      <c r="H5" s="19" t="inlineStr">
        <is>
          <t>0.94 per geprinte unit</t>
        </is>
      </c>
    </row>
    <row r="6">
      <c r="A6" s="11" t="inlineStr">
        <is>
          <t>Sand paper (GoldX)</t>
        </is>
      </c>
      <c r="B6" s="19" t="inlineStr">
        <is>
          <t>CROP GoldX 220-grit contactstrip</t>
        </is>
      </c>
      <c r="C6" s="20" t="n">
        <v>0.14</v>
      </c>
      <c r="D6" s="21" t="n">
        <v>1</v>
      </c>
      <c r="E6" s="22">
        <f>C6*D6</f>
        <v/>
      </c>
      <c r="F6" s="21" t="n">
        <v>2</v>
      </c>
      <c r="G6" s="22">
        <f>C6*F6</f>
        <v/>
      </c>
      <c r="H6" s="19" t="inlineStr">
        <is>
          <t>0.14 per contactstrip</t>
        </is>
      </c>
    </row>
    <row r="7">
      <c r="A7" s="11" t="inlineStr">
        <is>
          <t>Rope (Semi-statisch 4mm)</t>
        </is>
      </c>
      <c r="B7" s="19" t="inlineStr">
        <is>
          <t>Petzl 800kg load cord</t>
        </is>
      </c>
      <c r="C7" s="20" t="n">
        <v>0.43</v>
      </c>
      <c r="D7" s="21" t="n">
        <v>1</v>
      </c>
      <c r="E7" s="22">
        <f>C7*D7</f>
        <v/>
      </c>
      <c r="F7" s="21" t="n">
        <v>2</v>
      </c>
      <c r="G7" s="22">
        <f>C7*F7</f>
        <v/>
      </c>
      <c r="H7" s="19" t="inlineStr">
        <is>
          <t>0.43 per voorgemonteerd koord</t>
        </is>
      </c>
    </row>
    <row r="8">
      <c r="A8" s="11" t="inlineStr">
        <is>
          <t>Laser print / Sticker</t>
        </is>
      </c>
      <c r="B8" s="19" t="inlineStr">
        <is>
          <t>Zwart op wit laser badge</t>
        </is>
      </c>
      <c r="C8" s="20" t="n">
        <v>0.5</v>
      </c>
      <c r="D8" s="21" t="n">
        <v>1</v>
      </c>
      <c r="E8" s="22">
        <f>C8*D8</f>
        <v/>
      </c>
      <c r="F8" s="21" t="n">
        <v>2</v>
      </c>
      <c r="G8" s="22">
        <f>C8*F8</f>
        <v/>
      </c>
      <c r="H8" s="19" t="inlineStr">
        <is>
          <t>0.50 per unit branding</t>
        </is>
      </c>
    </row>
    <row r="9">
      <c r="A9" s="11" t="inlineStr">
        <is>
          <t>Double naamkaartje</t>
        </is>
      </c>
      <c r="B9" s="19" t="inlineStr">
        <is>
          <t>Instructie &amp; QR quickstart</t>
        </is>
      </c>
      <c r="C9" s="20" t="n">
        <v>0.25</v>
      </c>
      <c r="D9" s="21" t="n">
        <v>1</v>
      </c>
      <c r="E9" s="22">
        <f>C9*D9</f>
        <v/>
      </c>
      <c r="F9" s="21" t="n">
        <v>1</v>
      </c>
      <c r="G9" s="22">
        <f>C9*F9</f>
        <v/>
      </c>
      <c r="H9" s="19" t="inlineStr">
        <is>
          <t>Slechts 1x per bestelling/doos</t>
        </is>
      </c>
    </row>
    <row r="10">
      <c r="A10" s="11" t="inlineStr">
        <is>
          <t>Cotton bag + Stamp</t>
        </is>
      </c>
      <c r="B10" s="19" t="inlineStr">
        <is>
          <t>Katoenen draagtasje met BamBum stempel</t>
        </is>
      </c>
      <c r="C10" s="20" t="n">
        <v>0.67</v>
      </c>
      <c r="D10" s="21" t="n">
        <v>0</v>
      </c>
      <c r="E10" s="22">
        <f>C10*D10</f>
        <v/>
      </c>
      <c r="F10" s="21" t="n">
        <v>1</v>
      </c>
      <c r="G10" s="22">
        <f>C10*F10</f>
        <v/>
      </c>
      <c r="H10" s="19" t="inlineStr">
        <is>
          <t>Enkel inbegrepen bij Pair (1x)</t>
        </is>
      </c>
    </row>
    <row r="11">
      <c r="A11" s="11" t="inlineStr">
        <is>
          <t>Verzendzakje / Doosje</t>
        </is>
      </c>
      <c r="B11" s="19" t="inlineStr">
        <is>
          <t>Brievenbusverpakking</t>
        </is>
      </c>
      <c r="C11" s="20" t="n">
        <v>0.67</v>
      </c>
      <c r="D11" s="21" t="n">
        <v>1</v>
      </c>
      <c r="E11" s="22">
        <f>C11*D11</f>
        <v/>
      </c>
      <c r="F11" s="21" t="n">
        <v>0</v>
      </c>
      <c r="G11" s="22">
        <f>C11*F11</f>
        <v/>
      </c>
      <c r="H11" s="19" t="inlineStr">
        <is>
          <t>Single verpakking</t>
        </is>
      </c>
    </row>
    <row r="12"/>
    <row r="13">
      <c r="A13" s="23" t="inlineStr">
        <is>
          <t>TOTALE UNIT COST (COGS)</t>
        </is>
      </c>
      <c r="B13" s="24" t="inlineStr">
        <is>
          <t>Productiekost per verpakte eenheid</t>
        </is>
      </c>
      <c r="C13" s="25" t="inlineStr">
        <is>
          <t>-</t>
        </is>
      </c>
      <c r="D13" s="25" t="inlineStr">
        <is>
          <t>1x Single</t>
        </is>
      </c>
      <c r="E13" s="26">
        <f>SUM(E5:E11)</f>
        <v/>
      </c>
      <c r="F13" s="25" t="inlineStr">
        <is>
          <t>1x Pair</t>
        </is>
      </c>
      <c r="G13" s="26">
        <f>SUM(G5:G11)</f>
        <v/>
      </c>
      <c r="H13" s="27" t="inlineStr">
        <is>
          <t>Gevalideerd: Single €2.93 | Pair €4.95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4" customWidth="1" min="3" max="3"/>
    <col width="26" customWidth="1" min="4" max="4"/>
    <col width="26" customWidth="1" min="5" max="5"/>
    <col width="28" customWidth="1" min="6" max="6"/>
    <col width="30" customWidth="1" min="7" max="7"/>
  </cols>
  <sheetData>
    <row r="1">
      <c r="A1" s="1" t="inlineStr">
        <is>
          <t>🛒 UITGAVEN &amp; INKOOP LOGBOEK (BATCHES)</t>
        </is>
      </c>
    </row>
    <row r="2">
      <c r="A2" s="2" t="inlineStr">
        <is>
          <t>Inkoop van grondstoffen, materialen en bulkorders ter herberekening van de eenheidskosten</t>
        </is>
      </c>
    </row>
    <row r="3"/>
    <row r="4">
      <c r="A4" s="18" t="inlineStr">
        <is>
          <t>Datum / Bestelling</t>
        </is>
      </c>
      <c r="B4" s="18" t="inlineStr">
        <is>
          <t>Leverancier / Winkel</t>
        </is>
      </c>
      <c r="C4" s="18" t="inlineStr">
        <is>
          <t>Gekocht Materiaal</t>
        </is>
      </c>
      <c r="D4" s="18" t="inlineStr">
        <is>
          <t>Totaalbedrag Factuur (EUR)</t>
        </is>
      </c>
      <c r="E4" s="18" t="inlineStr">
        <is>
          <t>Aantal Eenheden in Batch</t>
        </is>
      </c>
      <c r="F4" s="18" t="inlineStr">
        <is>
          <t>Berekende Kost per Stuk (EUR)</t>
        </is>
      </c>
      <c r="G4" s="18" t="inlineStr">
        <is>
          <t>Koppeling naar COGS Item</t>
        </is>
      </c>
    </row>
    <row r="5">
      <c r="A5" s="11" t="inlineStr">
        <is>
          <t>Batch 1 Inkoop</t>
        </is>
      </c>
      <c r="B5" s="7" t="inlineStr">
        <is>
          <t>eSUN / 3DPrima</t>
        </is>
      </c>
      <c r="C5" s="7" t="inlineStr">
        <is>
          <t>Matzwart PLA Filament (10x 1kg spoelen)</t>
        </is>
      </c>
      <c r="D5" s="20" t="n">
        <v>188</v>
      </c>
      <c r="E5" s="21" t="n">
        <v>200</v>
      </c>
      <c r="F5" s="28">
        <f>D5/E5</f>
        <v/>
      </c>
      <c r="G5" s="19" t="inlineStr">
        <is>
          <t>PLA Filament (€0.94 / unit)</t>
        </is>
      </c>
    </row>
    <row r="6">
      <c r="A6" s="11" t="inlineStr">
        <is>
          <t>Batch 1 Inkoop</t>
        </is>
      </c>
      <c r="B6" s="7" t="inlineStr">
        <is>
          <t>CROP</t>
        </is>
      </c>
      <c r="C6" s="7" t="inlineStr">
        <is>
          <t>GoldX 220-Grit Schuurpapier rol (25m)</t>
        </is>
      </c>
      <c r="D6" s="20" t="n">
        <v>35</v>
      </c>
      <c r="E6" s="21" t="n">
        <v>250</v>
      </c>
      <c r="F6" s="28">
        <f>D6/E6</f>
        <v/>
      </c>
      <c r="G6" s="19" t="inlineStr">
        <is>
          <t>Sand paper (€0.14 / strip)</t>
        </is>
      </c>
    </row>
    <row r="7">
      <c r="A7" s="11" t="inlineStr">
        <is>
          <t>Batch 1 Inkoop</t>
        </is>
      </c>
      <c r="B7" s="7" t="inlineStr">
        <is>
          <t>Deporvillage</t>
        </is>
      </c>
      <c r="C7" s="7" t="inlineStr">
        <is>
          <t>Petzl 4mm Semi-statisch koord (100m)</t>
        </is>
      </c>
      <c r="D7" s="20" t="n">
        <v>50.59</v>
      </c>
      <c r="E7" s="21" t="n">
        <v>118</v>
      </c>
      <c r="F7" s="28">
        <f>D7/E7</f>
        <v/>
      </c>
      <c r="G7" s="19" t="inlineStr">
        <is>
          <t>Rope (€0.43 / stuk)</t>
        </is>
      </c>
    </row>
    <row r="8">
      <c r="A8" s="11" t="inlineStr">
        <is>
          <t>Batch 1 Inkoop</t>
        </is>
      </c>
      <c r="B8" s="7" t="inlineStr">
        <is>
          <t>Custom Textiel</t>
        </is>
      </c>
      <c r="C8" s="7" t="inlineStr">
        <is>
          <t>Katoenen zakjes + BamBum Stempel (100 stuks)</t>
        </is>
      </c>
      <c r="D8" s="20" t="n">
        <v>67</v>
      </c>
      <c r="E8" s="21" t="n">
        <v>100</v>
      </c>
      <c r="F8" s="28">
        <f>D8/E8</f>
        <v/>
      </c>
      <c r="G8" s="19" t="inlineStr">
        <is>
          <t>Cotton bag + Stamp (€0.67)</t>
        </is>
      </c>
    </row>
    <row r="9">
      <c r="A9" s="11" t="inlineStr">
        <is>
          <t>Batch 1 Inkoop</t>
        </is>
      </c>
      <c r="B9" s="7" t="inlineStr">
        <is>
          <t>Laser Service</t>
        </is>
      </c>
      <c r="C9" s="7" t="inlineStr">
        <is>
          <t>Matzwarte Laser Stickers (200 stuks)</t>
        </is>
      </c>
      <c r="D9" s="20" t="n">
        <v>100</v>
      </c>
      <c r="E9" s="21" t="n">
        <v>200</v>
      </c>
      <c r="F9" s="28">
        <f>D9/E9</f>
        <v/>
      </c>
      <c r="G9" s="19" t="inlineStr">
        <is>
          <t>Laser print (€0.50 / unit)</t>
        </is>
      </c>
    </row>
    <row r="10">
      <c r="A10" s="11" t="inlineStr">
        <is>
          <t>Batch 1 Inkoop</t>
        </is>
      </c>
      <c r="B10" s="7" t="inlineStr">
        <is>
          <t>Drukkerij</t>
        </is>
      </c>
      <c r="C10" s="7" t="inlineStr">
        <is>
          <t>Double-sided Quickstart Kaartjes (400 stuks)</t>
        </is>
      </c>
      <c r="D10" s="20" t="n">
        <v>100</v>
      </c>
      <c r="E10" s="21" t="n">
        <v>400</v>
      </c>
      <c r="F10" s="28">
        <f>D10/E10</f>
        <v/>
      </c>
      <c r="G10" s="19" t="inlineStr">
        <is>
          <t>Double naamkaartje (€0.25)</t>
        </is>
      </c>
    </row>
    <row r="11">
      <c r="A11" s="11" t="inlineStr">
        <is>
          <t>Batch 1 Inkoop</t>
        </is>
      </c>
      <c r="B11" s="7" t="inlineStr">
        <is>
          <t>Temu</t>
        </is>
      </c>
      <c r="C11" s="7" t="inlineStr">
        <is>
          <t>Verzendzakjes 20x25cm (50 stuks test)</t>
        </is>
      </c>
      <c r="D11" s="20" t="n">
        <v>33.5</v>
      </c>
      <c r="E11" s="21" t="n">
        <v>50</v>
      </c>
      <c r="F11" s="28">
        <f>D11/E11</f>
        <v/>
      </c>
      <c r="G11" s="19" t="inlineStr">
        <is>
          <t>Verzendzakje (€0.67)</t>
        </is>
      </c>
    </row>
    <row r="12"/>
    <row r="13">
      <c r="A13" s="29" t="inlineStr">
        <is>
          <t>TOTAAL GEÏNVESTEERD IN VOORRAAD</t>
        </is>
      </c>
      <c r="B13" s="30" t="n"/>
      <c r="C13" s="30" t="n"/>
      <c r="D13" s="26">
        <f>SUM(D5:D11)</f>
        <v/>
      </c>
      <c r="E13" s="30" t="n"/>
      <c r="F13" s="30" t="n"/>
      <c r="G13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  <col width="40" customWidth="1" min="4" max="4"/>
    <col width="26" customWidth="1" min="5" max="5"/>
    <col width="26" customWidth="1" min="6" max="6"/>
  </cols>
  <sheetData>
    <row r="1">
      <c r="A1" s="1" t="inlineStr">
        <is>
          <t>🛠️ VASTE INVESTERINGEN &amp; TOOLING (CAPEX)</t>
        </is>
      </c>
    </row>
    <row r="2">
      <c r="A2" s="2" t="inlineStr">
        <is>
          <t>Overzicht van vaste apparatuur, tooling tests en maandelijkse afschrijving</t>
        </is>
      </c>
    </row>
    <row r="3"/>
    <row r="4">
      <c r="A4" s="18" t="inlineStr">
        <is>
          <t>Investering / Tool</t>
        </is>
      </c>
      <c r="B4" s="18" t="inlineStr">
        <is>
          <t>Categorie</t>
        </is>
      </c>
      <c r="C4" s="18" t="inlineStr">
        <is>
          <t>Kostprijs (EUR)</t>
        </is>
      </c>
      <c r="D4" s="18" t="inlineStr">
        <is>
          <t>Status / Toelichting</t>
        </is>
      </c>
      <c r="E4" s="18" t="inlineStr">
        <is>
          <t>Afschrijvingstermijn (Mnd)</t>
        </is>
      </c>
      <c r="F4" s="18" t="inlineStr">
        <is>
          <t>Maandelijkse Kost (EUR)</t>
        </is>
      </c>
    </row>
    <row r="5">
      <c r="A5" s="11" t="inlineStr">
        <is>
          <t>Rollagers voor spool holder</t>
        </is>
      </c>
      <c r="B5" s="19" t="inlineStr">
        <is>
          <t>Hardware Mod</t>
        </is>
      </c>
      <c r="C5" s="20" t="n">
        <v>6</v>
      </c>
      <c r="D5" s="7" t="inlineStr">
        <is>
          <t>Spool holder upgrade</t>
        </is>
      </c>
      <c r="E5" s="21" t="n">
        <v>12</v>
      </c>
      <c r="F5" s="22">
        <f>C5/E5</f>
        <v/>
      </c>
    </row>
    <row r="6">
      <c r="A6" s="11" t="inlineStr">
        <is>
          <t>Printer A1 mini</t>
        </is>
      </c>
      <c r="B6" s="19" t="inlineStr">
        <is>
          <t>3D Printer</t>
        </is>
      </c>
      <c r="C6" s="20" t="n">
        <v>0</v>
      </c>
      <c r="D6" s="7" t="inlineStr">
        <is>
          <t>Reeds in bezit / €0 initiële investering</t>
        </is>
      </c>
      <c r="E6" s="21" t="n">
        <v>12</v>
      </c>
      <c r="F6" s="22">
        <f>C6/E6</f>
        <v/>
      </c>
    </row>
    <row r="7">
      <c r="A7" s="11" t="inlineStr">
        <is>
          <t>Temu zakjes test (20x25cm en 50)</t>
        </is>
      </c>
      <c r="B7" s="19" t="inlineStr">
        <is>
          <t>Verpakking Test</t>
        </is>
      </c>
      <c r="C7" s="20" t="n">
        <v>27.19</v>
      </c>
      <c r="D7" s="7" t="inlineStr">
        <is>
          <t>Testverpakking sample batch</t>
        </is>
      </c>
      <c r="E7" s="21" t="n">
        <v>6</v>
      </c>
      <c r="F7" s="22">
        <f>C7/E7</f>
        <v/>
      </c>
    </row>
    <row r="8">
      <c r="A8" s="11" t="inlineStr">
        <is>
          <t>Double sided tape test</t>
        </is>
      </c>
      <c r="B8" s="19" t="inlineStr">
        <is>
          <t>Materiaal Test</t>
        </is>
      </c>
      <c r="C8" s="20" t="n">
        <v>17.19</v>
      </c>
      <c r="D8" s="7" t="inlineStr">
        <is>
          <t>Montagetape schuurpapier hechting</t>
        </is>
      </c>
      <c r="E8" s="21" t="n">
        <v>6</v>
      </c>
      <c r="F8" s="22">
        <f>C8/E8</f>
        <v/>
      </c>
    </row>
    <row r="9">
      <c r="A9" s="11" t="inlineStr">
        <is>
          <t>Hot cutter</t>
        </is>
      </c>
      <c r="B9" s="19" t="inlineStr">
        <is>
          <t>Tooling &amp; Snijapparatuur</t>
        </is>
      </c>
      <c r="C9" s="20" t="n">
        <v>58.99</v>
      </c>
      <c r="D9" s="7" t="inlineStr">
        <is>
          <t>Professionele touwsnijder / smeltbrander</t>
        </is>
      </c>
      <c r="E9" s="21" t="n">
        <v>24</v>
      </c>
      <c r="F9" s="22">
        <f>C9/E9</f>
        <v/>
      </c>
    </row>
    <row r="10">
      <c r="A10" s="11" t="inlineStr">
        <is>
          <t>Test UV laser</t>
        </is>
      </c>
      <c r="B10" s="19" t="inlineStr">
        <is>
          <t>Branding &amp; Labeling</t>
        </is>
      </c>
      <c r="C10" s="20" t="n">
        <v>15</v>
      </c>
      <c r="D10" s="7" t="inlineStr">
        <is>
          <t>UV-uitharding test tool</t>
        </is>
      </c>
      <c r="E10" s="21" t="n">
        <v>12</v>
      </c>
      <c r="F10" s="22">
        <f>C10/E10</f>
        <v/>
      </c>
    </row>
    <row r="11">
      <c r="A11" s="11" t="inlineStr">
        <is>
          <t>Domein &amp; Hosting Platform (Vercel/Stripe)</t>
        </is>
      </c>
      <c r="B11" s="19" t="inlineStr">
        <is>
          <t>Vaste Maandelijkse Software</t>
        </is>
      </c>
      <c r="C11" s="20" t="n">
        <v>0</v>
      </c>
      <c r="D11" s="7" t="inlineStr">
        <is>
          <t>Software / webshop hosting</t>
        </is>
      </c>
      <c r="E11" s="21" t="n">
        <v>1</v>
      </c>
      <c r="F11" s="22" t="n">
        <v>30</v>
      </c>
    </row>
    <row r="12"/>
    <row r="13"/>
    <row r="14">
      <c r="A14" s="23" t="inlineStr">
        <is>
          <t>TOTAAL EENMALIGE CAPEX &amp; MAANDLAST</t>
        </is>
      </c>
      <c r="B14" s="24" t="inlineStr">
        <is>
          <t>Gekoppeld aan Dashboard</t>
        </is>
      </c>
      <c r="C14" s="26">
        <f>SUM(C5:C10)</f>
        <v/>
      </c>
      <c r="D14" s="25" t="inlineStr">
        <is>
          <t>-</t>
        </is>
      </c>
      <c r="E14" s="25" t="inlineStr">
        <is>
          <t>-</t>
        </is>
      </c>
      <c r="F14" s="31">
        <f>SUM(F5:F11)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30" customWidth="1" min="4" max="4"/>
    <col width="28" customWidth="1" min="5" max="5"/>
    <col width="22" customWidth="1" min="6" max="6"/>
    <col width="24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🌍 VERZENDKOSTEN DETAIL &amp; VERVOERDERS BENCHMARK</t>
        </is>
      </c>
    </row>
    <row r="2">
      <c r="A2" s="2" t="inlineStr">
        <is>
          <t>Werkelijke logistieke tarieven (Inposteasy PUDO, DPD PUDO, DPD direct) vs. klanttarieven en subsidie</t>
        </is>
      </c>
    </row>
    <row r="3">
      <c r="A3" s="32" t="inlineStr">
        <is>
          <t>1. ACTIEF VERZENDPROFIEL &amp; SUBSIDIEBEREKENING (GEKOPPELD AAN DASHBOARD)</t>
        </is>
      </c>
    </row>
    <row r="4">
      <c r="A4" s="18" t="inlineStr">
        <is>
          <t>Bestemming (Land / Regio)</t>
        </is>
      </c>
      <c r="B4" s="18" t="inlineStr">
        <is>
          <t>Gekozen Vervoerder &amp; Service</t>
        </is>
      </c>
      <c r="C4" s="18" t="inlineStr">
        <is>
          <t>Reële Kost voor Fré (EUR)</t>
        </is>
      </c>
      <c r="D4" s="18" t="inlineStr">
        <is>
          <t>Tarief Aangerekend aan Klant (EUR)</t>
        </is>
      </c>
      <c r="E4" s="18" t="inlineStr">
        <is>
          <t>Verschil / Subsidie per Order (EUR)</t>
        </is>
      </c>
      <c r="F4" s="18" t="inlineStr">
        <is>
          <t>Geschatte Order Mix (%)</t>
        </is>
      </c>
      <c r="G4" s="18" t="inlineStr">
        <is>
          <t>Gewogen Subsidie (EUR)</t>
        </is>
      </c>
    </row>
    <row r="5">
      <c r="A5" s="11" t="inlineStr">
        <is>
          <t>België (Leuven Afhaling)</t>
        </is>
      </c>
      <c r="B5" s="19" t="inlineStr">
        <is>
          <t>Lokaal op afspraak te Leuven</t>
        </is>
      </c>
      <c r="C5" s="20" t="n">
        <v>0</v>
      </c>
      <c r="D5" s="28" t="n">
        <v>0</v>
      </c>
      <c r="E5" s="20">
        <f>C5-D5</f>
        <v/>
      </c>
      <c r="F5" s="33" t="n">
        <v>0.15</v>
      </c>
      <c r="G5" s="22">
        <f>E5*F5</f>
        <v/>
      </c>
    </row>
    <row r="6">
      <c r="A6" s="11" t="inlineStr">
        <is>
          <t>België (Inpost PUDO / Lockers)</t>
        </is>
      </c>
      <c r="B6" s="19" t="inlineStr">
        <is>
          <t>Inposteasy Afhaalpunt / Locker</t>
        </is>
      </c>
      <c r="C6" s="20" t="n">
        <v>3.8</v>
      </c>
      <c r="D6" s="28" t="n">
        <v>3.8</v>
      </c>
      <c r="E6" s="20">
        <f>C6-D6</f>
        <v/>
      </c>
      <c r="F6" s="33" t="n">
        <v>0.25</v>
      </c>
      <c r="G6" s="22">
        <f>E6*F6</f>
        <v/>
      </c>
    </row>
    <row r="7">
      <c r="A7" s="11" t="inlineStr">
        <is>
          <t>België (DPD direct Thuis)</t>
        </is>
      </c>
      <c r="B7" s="19" t="inlineStr">
        <is>
          <t>DPD Home Delivery met Tracking</t>
        </is>
      </c>
      <c r="C7" s="20" t="n">
        <v>5.62</v>
      </c>
      <c r="D7" s="28" t="n">
        <v>4.95</v>
      </c>
      <c r="E7" s="20">
        <f>C7-D7</f>
        <v/>
      </c>
      <c r="F7" s="33" t="n">
        <v>0.1</v>
      </c>
      <c r="G7" s="22">
        <f>E7*F7</f>
        <v/>
      </c>
    </row>
    <row r="8">
      <c r="A8" s="11" t="inlineStr">
        <is>
          <t>Nederland (DPD PUDO / Lockers)</t>
        </is>
      </c>
      <c r="B8" s="19" t="inlineStr">
        <is>
          <t>DPD Parcelshop / Locker (Laagste kost)</t>
        </is>
      </c>
      <c r="C8" s="20" t="n">
        <v>6.61</v>
      </c>
      <c r="D8" s="28" t="n">
        <v>5.5</v>
      </c>
      <c r="E8" s="20">
        <f>C8-D8</f>
        <v/>
      </c>
      <c r="F8" s="33" t="n">
        <v>0.15</v>
      </c>
      <c r="G8" s="22">
        <f>E8*F8</f>
        <v/>
      </c>
    </row>
    <row r="9">
      <c r="A9" s="11" t="inlineStr">
        <is>
          <t>Nederland (DPD direct Thuis)</t>
        </is>
      </c>
      <c r="B9" s="19" t="inlineStr">
        <is>
          <t>DPD Home Delivery met Tracking</t>
        </is>
      </c>
      <c r="C9" s="20" t="n">
        <v>8.35</v>
      </c>
      <c r="D9" s="28" t="n">
        <v>6.95</v>
      </c>
      <c r="E9" s="20">
        <f>C9-D9</f>
        <v/>
      </c>
      <c r="F9" s="33" t="n">
        <v>0.05</v>
      </c>
      <c r="G9" s="22">
        <f>E9*F9</f>
        <v/>
      </c>
    </row>
    <row r="10">
      <c r="A10" s="11" t="inlineStr">
        <is>
          <t>Duitsland (DPD PUDO / Lockers)</t>
        </is>
      </c>
      <c r="B10" s="19" t="inlineStr">
        <is>
          <t>DPD Parcelshop / Locker</t>
        </is>
      </c>
      <c r="C10" s="20" t="n">
        <v>8.35</v>
      </c>
      <c r="D10" s="28" t="n">
        <v>6.5</v>
      </c>
      <c r="E10" s="20">
        <f>C10-D10</f>
        <v/>
      </c>
      <c r="F10" s="33" t="n">
        <v>0.1</v>
      </c>
      <c r="G10" s="22">
        <f>E10*F10</f>
        <v/>
      </c>
    </row>
    <row r="11">
      <c r="A11" s="11" t="inlineStr">
        <is>
          <t>Frankrijk (Inpost PUDO / Lockers)</t>
        </is>
      </c>
      <c r="B11" s="19" t="inlineStr">
        <is>
          <t>Inposteasy / Mondial Relay Locker</t>
        </is>
      </c>
      <c r="C11" s="20" t="n">
        <v>7.42</v>
      </c>
      <c r="D11" s="28" t="n">
        <v>5.95</v>
      </c>
      <c r="E11" s="20">
        <f>C11-D11</f>
        <v/>
      </c>
      <c r="F11" s="33" t="n">
        <v>0.08</v>
      </c>
      <c r="G11" s="22">
        <f>E11*F11</f>
        <v/>
      </c>
    </row>
    <row r="12">
      <c r="A12" s="11" t="inlineStr">
        <is>
          <t>Luxemburg (Inpost PUDO)</t>
        </is>
      </c>
      <c r="B12" s="19" t="inlineStr">
        <is>
          <t>Inposteasy Afhaalpunt / Locker</t>
        </is>
      </c>
      <c r="C12" s="20" t="n">
        <v>7.42</v>
      </c>
      <c r="D12" s="28" t="n">
        <v>5.95</v>
      </c>
      <c r="E12" s="20">
        <f>C12-D12</f>
        <v/>
      </c>
      <c r="F12" s="33" t="n">
        <v>0.02</v>
      </c>
      <c r="G12" s="22">
        <f>E12*F12</f>
        <v/>
      </c>
    </row>
    <row r="13">
      <c r="A13" s="11" t="inlineStr">
        <is>
          <t>Spanje &amp; Portugal (Inpost PUDO)</t>
        </is>
      </c>
      <c r="B13" s="19" t="inlineStr">
        <is>
          <t>Inposteasy Locker (ES/POR: €10.14)</t>
        </is>
      </c>
      <c r="C13" s="20" t="n">
        <v>10.14</v>
      </c>
      <c r="D13" s="28" t="n">
        <v>7.95</v>
      </c>
      <c r="E13" s="20">
        <f>C13-D13</f>
        <v/>
      </c>
      <c r="F13" s="33" t="n">
        <v>0.05</v>
      </c>
      <c r="G13" s="22">
        <f>E13*F13</f>
        <v/>
      </c>
    </row>
    <row r="14">
      <c r="A14" s="11" t="inlineStr">
        <is>
          <t>Italië &amp; Polen (Inpost PUDO)</t>
        </is>
      </c>
      <c r="B14" s="19" t="inlineStr">
        <is>
          <t>Inposteasy Locker (IT: €10.14 / PO: €10.99)</t>
        </is>
      </c>
      <c r="C14" s="20" t="n">
        <v>10.4</v>
      </c>
      <c r="D14" s="28" t="n">
        <v>7.95</v>
      </c>
      <c r="E14" s="20">
        <f>C14-D14</f>
        <v/>
      </c>
      <c r="F14" s="33" t="n">
        <v>0.05</v>
      </c>
      <c r="G14" s="22">
        <f>E14*F14</f>
        <v/>
      </c>
    </row>
    <row r="15">
      <c r="A15" s="23" t="inlineStr">
        <is>
          <t>TOTAAL / GEWOGEN GEMIDDELDE</t>
        </is>
      </c>
      <c r="B15" s="24" t="inlineStr">
        <is>
          <t>Gekoppeld aan Dashboard (G15)</t>
        </is>
      </c>
      <c r="C15" s="25" t="inlineStr">
        <is>
          <t>-</t>
        </is>
      </c>
      <c r="D15" s="25" t="inlineStr">
        <is>
          <t>-</t>
        </is>
      </c>
      <c r="E15" s="25" t="inlineStr">
        <is>
          <t>-</t>
        </is>
      </c>
      <c r="F15" s="34">
        <f>SUM(F5:F14)</f>
        <v/>
      </c>
      <c r="G15" s="31">
        <f>SUM(G5:G14)</f>
        <v/>
      </c>
    </row>
    <row r="16"/>
    <row r="17">
      <c r="A17" s="35" t="inlineStr">
        <is>
          <t>2. COMPLETE VERVOERDERS BENCHMARK &amp; TARIEVENMATRIX (INPOSTEASY VS. DPD)</t>
        </is>
      </c>
    </row>
    <row r="18">
      <c r="A18" s="5" t="inlineStr">
        <is>
          <t>Vervoerder &amp; Verzendmethode</t>
        </is>
      </c>
      <c r="B18" s="36" t="inlineStr">
        <is>
          <t>BE</t>
        </is>
      </c>
      <c r="C18" s="36" t="inlineStr">
        <is>
          <t>NL</t>
        </is>
      </c>
      <c r="D18" s="36" t="inlineStr">
        <is>
          <t>LU</t>
        </is>
      </c>
      <c r="E18" s="36" t="inlineStr">
        <is>
          <t>FR</t>
        </is>
      </c>
      <c r="F18" s="36" t="inlineStr">
        <is>
          <t>ES</t>
        </is>
      </c>
      <c r="G18" s="36" t="inlineStr">
        <is>
          <t>POR</t>
        </is>
      </c>
      <c r="H18" s="36" t="inlineStr">
        <is>
          <t>IT</t>
        </is>
      </c>
      <c r="I18" s="36" t="inlineStr">
        <is>
          <t>PO</t>
        </is>
      </c>
      <c r="J18" s="36" t="inlineStr">
        <is>
          <t>GE (DE)</t>
        </is>
      </c>
    </row>
    <row r="19">
      <c r="A19" s="37" t="inlineStr">
        <is>
          <t>Inposteasy (PUDO Lockers / Afhaalpunten)</t>
        </is>
      </c>
      <c r="B19" s="14" t="n">
        <v>3.8</v>
      </c>
      <c r="C19" s="10" t="n">
        <v>7.42</v>
      </c>
      <c r="D19" s="14" t="n">
        <v>7.42</v>
      </c>
      <c r="E19" s="14" t="n">
        <v>7.42</v>
      </c>
      <c r="F19" s="14" t="n">
        <v>10.14</v>
      </c>
      <c r="G19" s="14" t="n">
        <v>10.14</v>
      </c>
      <c r="H19" s="14" t="n">
        <v>10.14</v>
      </c>
      <c r="I19" s="14" t="n">
        <v>10.99</v>
      </c>
      <c r="J19" s="38" t="inlineStr">
        <is>
          <t>-</t>
        </is>
      </c>
    </row>
    <row r="20">
      <c r="A20" s="37" t="inlineStr">
        <is>
          <t>DPD (PUDO Lockers / Parcelshops)</t>
        </is>
      </c>
      <c r="B20" s="10" t="n">
        <v>3.87</v>
      </c>
      <c r="C20" s="14" t="n">
        <v>6.61</v>
      </c>
      <c r="D20" s="38" t="inlineStr">
        <is>
          <t>-</t>
        </is>
      </c>
      <c r="E20" s="10" t="n">
        <v>10.54</v>
      </c>
      <c r="F20" s="38" t="inlineStr">
        <is>
          <t>-</t>
        </is>
      </c>
      <c r="G20" s="38" t="inlineStr">
        <is>
          <t>-</t>
        </is>
      </c>
      <c r="H20" s="38" t="inlineStr">
        <is>
          <t>-</t>
        </is>
      </c>
      <c r="I20" s="38" t="inlineStr">
        <is>
          <t>-</t>
        </is>
      </c>
      <c r="J20" s="14" t="n">
        <v>8.35</v>
      </c>
    </row>
    <row r="21">
      <c r="A21" s="37" t="inlineStr">
        <is>
          <t>DPD direct (Thuislevering aan de deur)</t>
        </is>
      </c>
      <c r="B21" s="10" t="n">
        <v>5.62</v>
      </c>
      <c r="C21" s="10" t="n">
        <v>8.35</v>
      </c>
      <c r="D21" s="38" t="inlineStr">
        <is>
          <t>-</t>
        </is>
      </c>
      <c r="E21" s="10" t="n">
        <v>12.32</v>
      </c>
      <c r="F21" s="38" t="inlineStr">
        <is>
          <t>-</t>
        </is>
      </c>
      <c r="G21" s="38" t="inlineStr">
        <is>
          <t>-</t>
        </is>
      </c>
      <c r="H21" s="38" t="inlineStr">
        <is>
          <t>-</t>
        </is>
      </c>
      <c r="I21" s="38" t="inlineStr">
        <is>
          <t>-</t>
        </is>
      </c>
      <c r="J21" s="10" t="n">
        <v>10.12</v>
      </c>
    </row>
  </sheetData>
  <mergeCells count="2">
    <mergeCell ref="A3:G3"/>
    <mergeCell ref="A17:J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6" customWidth="1" min="3" max="3"/>
    <col width="25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</cols>
  <sheetData>
    <row r="1">
      <c r="A1" s="1" t="inlineStr">
        <is>
          <t>🤝 VRIENDENKORTING &amp; AFHAALPRIJZEN (LEUVEN)</t>
        </is>
      </c>
    </row>
    <row r="2">
      <c r="A2" s="2" t="inlineStr">
        <is>
          <t>Berekening van vriendenprijzen op basis van wegvallende marketing- (CAC), verpakkings- en verzendkosten</t>
        </is>
      </c>
    </row>
    <row r="3"/>
    <row r="4">
      <c r="A4" s="5" t="inlineStr">
        <is>
          <t>Scenario / Verkoopkanaal</t>
        </is>
      </c>
      <c r="B4" s="36" t="inlineStr">
        <is>
          <t>Officiële Webshopprijs</t>
        </is>
      </c>
      <c r="C4" s="36" t="inlineStr">
        <is>
          <t>Bespaarde Kosten per Order</t>
        </is>
      </c>
      <c r="D4" s="3" t="inlineStr">
        <is>
          <t>Aanbevolen Vriendenprijs</t>
        </is>
      </c>
      <c r="E4" s="36" t="inlineStr">
        <is>
          <t>Toegepaste Korting (€)</t>
        </is>
      </c>
      <c r="F4" s="36" t="inlineStr">
        <is>
          <t>Toegepaste Korting (%)</t>
        </is>
      </c>
      <c r="G4" s="36" t="inlineStr">
        <is>
          <t>COGS (Materiaalkost)</t>
        </is>
      </c>
      <c r="H4" s="36" t="inlineStr">
        <is>
          <t>Jouw Nettowinst (€)</t>
        </is>
      </c>
      <c r="I4" s="36" t="inlineStr">
        <is>
          <t>Nettowinstmarge (%)</t>
        </is>
      </c>
    </row>
    <row r="5">
      <c r="A5" s="32" t="inlineStr">
        <is>
          <t>SCENARIO A: GEEN MARKETING (CAC = €0), WEL VERZENDING VIA BPOST / POSTNL</t>
        </is>
      </c>
    </row>
    <row r="6">
      <c r="A6" s="37" t="inlineStr">
        <is>
          <t>Single Unit (1x) — Verzonden via Post</t>
        </is>
      </c>
      <c r="B6" s="39" t="n">
        <v>24.95</v>
      </c>
      <c r="C6" s="39" t="n">
        <v>6.5</v>
      </c>
      <c r="D6" s="14" t="n">
        <v>20</v>
      </c>
      <c r="E6" s="39">
        <f>B6-D6</f>
        <v/>
      </c>
      <c r="F6" s="40">
        <f>E6/B6</f>
        <v/>
      </c>
      <c r="G6" s="39">
        <f>'COGS Detail'!E13</f>
        <v/>
      </c>
      <c r="H6" s="41">
        <f>D6-G6-(D6*0.015+0.25)-'Verzendkosten'!G15</f>
        <v/>
      </c>
      <c r="I6" s="40">
        <f>H6/D6</f>
        <v/>
      </c>
    </row>
    <row r="7">
      <c r="A7" s="37" t="inlineStr">
        <is>
          <t>Complete Pair (2x) — Verzonden via Post</t>
        </is>
      </c>
      <c r="B7" s="39" t="n">
        <v>44.95</v>
      </c>
      <c r="C7" s="39" t="n">
        <v>7.5</v>
      </c>
      <c r="D7" s="14" t="n">
        <v>35</v>
      </c>
      <c r="E7" s="39">
        <f>B7-D7</f>
        <v/>
      </c>
      <c r="F7" s="40">
        <f>E7/B7</f>
        <v/>
      </c>
      <c r="G7" s="39">
        <f>'COGS Detail'!G13</f>
        <v/>
      </c>
      <c r="H7" s="41">
        <f>D7-G7-(D7*0.015+0.25)-'Verzendkosten'!G15</f>
        <v/>
      </c>
      <c r="I7" s="40">
        <f>H7/D7</f>
        <v/>
      </c>
    </row>
    <row r="8">
      <c r="A8" s="32" t="inlineStr">
        <is>
          <t>SCENARIO B: GEEN MARKETING (CAC = €0) ÉN LOKALE AFHALING TE LEUVEN (GEEN VERZENDING)</t>
        </is>
      </c>
    </row>
    <row r="9">
      <c r="A9" s="37" t="inlineStr">
        <is>
          <t>Single Unit (1x) — Afhaling te Leuven / Klimzaal</t>
        </is>
      </c>
      <c r="B9" s="39" t="n">
        <v>24.95</v>
      </c>
      <c r="C9" s="39" t="n">
        <v>8.710000000000001</v>
      </c>
      <c r="D9" s="14" t="n">
        <v>16</v>
      </c>
      <c r="E9" s="39">
        <f>B9-D9</f>
        <v/>
      </c>
      <c r="F9" s="40">
        <f>E9/B9</f>
        <v/>
      </c>
      <c r="G9" s="39">
        <f>'COGS Detail'!E13-0.67</f>
        <v/>
      </c>
      <c r="H9" s="41">
        <f>D9-G9</f>
        <v/>
      </c>
      <c r="I9" s="40">
        <f>H9/D9</f>
        <v/>
      </c>
    </row>
    <row r="10">
      <c r="A10" s="37" t="inlineStr">
        <is>
          <t>Complete Pair (2x) — Afhaling te Leuven / Klimzaal</t>
        </is>
      </c>
      <c r="B10" s="39" t="n">
        <v>44.95</v>
      </c>
      <c r="C10" s="39" t="n">
        <v>10</v>
      </c>
      <c r="D10" s="14" t="n">
        <v>30</v>
      </c>
      <c r="E10" s="39">
        <f>B10-D10</f>
        <v/>
      </c>
      <c r="F10" s="40">
        <f>E10/B10</f>
        <v/>
      </c>
      <c r="G10" s="39">
        <f>'COGS Detail'!G13</f>
        <v/>
      </c>
      <c r="H10" s="41">
        <f>D10-G10</f>
        <v/>
      </c>
      <c r="I10" s="40">
        <f>H10/D10</f>
        <v/>
      </c>
    </row>
    <row r="11"/>
    <row r="12">
      <c r="A12" s="42" t="inlineStr">
        <is>
          <t>DETAIL OVERZICHT: WAAROM KAN DEZE KORTING GEGEVEN WORDEN?</t>
        </is>
      </c>
    </row>
    <row r="13">
      <c r="A13" s="18" t="inlineStr">
        <is>
          <t>Kostencomponent per Order</t>
        </is>
      </c>
      <c r="B13" s="18" t="inlineStr">
        <is>
          <t>Reguliere Webshopklant</t>
        </is>
      </c>
      <c r="C13" s="18" t="inlineStr">
        <is>
          <t>Vriend (Scenario A: Verzonden)</t>
        </is>
      </c>
      <c r="D13" s="18" t="inlineStr">
        <is>
          <t>Vriend (Scenario B: Afhaling)</t>
        </is>
      </c>
      <c r="E13" s="18" t="inlineStr">
        <is>
          <t>Besparing / Verklaring</t>
        </is>
      </c>
    </row>
    <row r="14">
      <c r="A14" s="11" t="inlineStr">
        <is>
          <t>Social Media Marketing (Meta Ads CAC)</t>
        </is>
      </c>
      <c r="B14" s="7" t="inlineStr">
        <is>
          <t>€ 6,50 - € 7,50</t>
        </is>
      </c>
      <c r="C14" s="7" t="inlineStr">
        <is>
          <t>€ 0,00</t>
        </is>
      </c>
      <c r="D14" s="7" t="inlineStr">
        <is>
          <t>€ 0,00</t>
        </is>
      </c>
      <c r="E14" s="7" t="inlineStr">
        <is>
          <t>100% bespaard via persoonlijke connectie / mond-tot-mond</t>
        </is>
      </c>
    </row>
    <row r="15">
      <c r="A15" s="11" t="inlineStr">
        <is>
          <t>Verzendsubsidie (Transport Fré)</t>
        </is>
      </c>
      <c r="B15" s="7" t="inlineStr">
        <is>
          <t>€ 0,92</t>
        </is>
      </c>
      <c r="C15" s="7" t="inlineStr">
        <is>
          <t>€ 0,92</t>
        </is>
      </c>
      <c r="D15" s="7" t="inlineStr">
        <is>
          <t>€ 0,00</t>
        </is>
      </c>
      <c r="E15" s="7" t="inlineStr">
        <is>
          <t>Volledig uitgespaard bij afhaling te Leuven / zaal</t>
        </is>
      </c>
    </row>
    <row r="16">
      <c r="A16" s="11" t="inlineStr">
        <is>
          <t>Verzendzakje / Brievenbusdoosje</t>
        </is>
      </c>
      <c r="B16" s="7" t="inlineStr">
        <is>
          <t>€ 0,67</t>
        </is>
      </c>
      <c r="C16" s="7" t="inlineStr">
        <is>
          <t>€ 0,67</t>
        </is>
      </c>
      <c r="D16" s="7" t="inlineStr">
        <is>
          <t>€ 0,00</t>
        </is>
      </c>
      <c r="E16" s="7" t="inlineStr">
        <is>
          <t>Geen postverpakking nodig bij directe overhandiging</t>
        </is>
      </c>
    </row>
    <row r="17">
      <c r="A17" s="11" t="inlineStr">
        <is>
          <t>Stripe Betaaltransactiekosten</t>
        </is>
      </c>
      <c r="B17" s="7" t="inlineStr">
        <is>
          <t>€ 0,62 - € 0,92</t>
        </is>
      </c>
      <c r="C17" s="7" t="inlineStr">
        <is>
          <t>€ 0,55 - € 0,78</t>
        </is>
      </c>
      <c r="D17" s="7" t="inlineStr">
        <is>
          <t>€ 0,00</t>
        </is>
      </c>
      <c r="E17" s="7" t="inlineStr">
        <is>
          <t>Geen transactiekosten bij Payconiq, overschrijving of cash</t>
        </is>
      </c>
    </row>
    <row r="18">
      <c r="A18" s="43" t="inlineStr">
        <is>
          <t>TOTALE BESPAARDE KOSTEN PER ORDER</t>
        </is>
      </c>
      <c r="B18" s="43" t="inlineStr">
        <is>
          <t>€ 0,00</t>
        </is>
      </c>
      <c r="C18" s="43" t="inlineStr">
        <is>
          <t>€ 6,50 à € 7,50</t>
        </is>
      </c>
      <c r="D18" s="43" t="inlineStr">
        <is>
          <t>€ 8,70 à € 10,00</t>
        </is>
      </c>
      <c r="E18" s="43" t="inlineStr">
        <is>
          <t>Vloeit integraal door naar een eerlijke vriendenprijs</t>
        </is>
      </c>
    </row>
  </sheetData>
  <mergeCells count="3">
    <mergeCell ref="A5:I5"/>
    <mergeCell ref="A8:I8"/>
    <mergeCell ref="A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6" customWidth="1" min="3" max="3"/>
    <col width="26" customWidth="1" min="4" max="4"/>
    <col width="20" customWidth="1" min="5" max="5"/>
    <col width="20" customWidth="1" min="6" max="6"/>
    <col width="18" customWidth="1" min="7" max="7"/>
    <col width="26" customWidth="1" min="8" max="8"/>
    <col width="20" customWidth="1" min="9" max="9"/>
  </cols>
  <sheetData>
    <row r="1">
      <c r="A1" s="1" t="inlineStr">
        <is>
          <t>🧗 B2B KLIMZALEN &amp; WHOLESALE RETAIL</t>
        </is>
      </c>
    </row>
    <row r="2">
      <c r="A2" s="2" t="inlineStr">
        <is>
          <t>Wholesale marges voor klimzalen, toonbank display packs en B2B consignatie vs. directe inkoop</t>
        </is>
      </c>
    </row>
    <row r="3"/>
    <row r="4">
      <c r="A4" s="5" t="inlineStr">
        <is>
          <t>Product / Verkoopmodel</t>
        </is>
      </c>
      <c r="B4" s="36" t="inlineStr">
        <is>
          <t>Adviesprijs Klant (incl. BTW)</t>
        </is>
      </c>
      <c r="C4" s="36" t="inlineStr">
        <is>
          <t>Adviesprijs (excl. 21% BTW)</t>
        </is>
      </c>
      <c r="D4" s="3" t="inlineStr">
        <is>
          <t>Inkoopprijs Zaal (excl. BTW)</t>
        </is>
      </c>
      <c r="E4" s="36" t="inlineStr">
        <is>
          <t>Marge Klimzaal (€)</t>
        </is>
      </c>
      <c r="F4" s="36" t="inlineStr">
        <is>
          <t>Marge Klimzaal (%)</t>
        </is>
      </c>
      <c r="G4" s="36" t="inlineStr">
        <is>
          <t>COGS Fré (€)</t>
        </is>
      </c>
      <c r="H4" s="3" t="inlineStr">
        <is>
          <t>Nettowinst Fré per Stuk (€)</t>
        </is>
      </c>
      <c r="I4" s="36" t="inlineStr">
        <is>
          <t>Nettomarge Fré (%)</t>
        </is>
      </c>
    </row>
    <row r="5">
      <c r="A5" s="32" t="inlineStr">
        <is>
          <t>1. DIRECTE INKOOP DOOR KLIMZAAL (35% MARGE VOOR DE ZAAL — BULK FACTUUR)</t>
        </is>
      </c>
    </row>
    <row r="6">
      <c r="A6" s="37" t="inlineStr">
        <is>
          <t>Single Unit (1x) — Directe Inkoop</t>
        </is>
      </c>
      <c r="B6" s="39" t="n">
        <v>24.95</v>
      </c>
      <c r="C6" s="39">
        <f>B6/1.21</f>
        <v/>
      </c>
      <c r="D6" s="14">
        <f>C6*(1-0.35)</f>
        <v/>
      </c>
      <c r="E6" s="39">
        <f>C6-D6</f>
        <v/>
      </c>
      <c r="F6" s="40">
        <f>E6/C6</f>
        <v/>
      </c>
      <c r="G6" s="39">
        <f>'COGS Detail'!E13</f>
        <v/>
      </c>
      <c r="H6" s="41">
        <f>D6-G6</f>
        <v/>
      </c>
      <c r="I6" s="40">
        <f>H6/D6</f>
        <v/>
      </c>
    </row>
    <row r="7">
      <c r="A7" s="37" t="inlineStr">
        <is>
          <t>Complete Pair (2x) — Directe Inkoop</t>
        </is>
      </c>
      <c r="B7" s="39" t="n">
        <v>44.95</v>
      </c>
      <c r="C7" s="39">
        <f>B7/1.21</f>
        <v/>
      </c>
      <c r="D7" s="14">
        <f>C7*(1-0.35)</f>
        <v/>
      </c>
      <c r="E7" s="39">
        <f>C7-D7</f>
        <v/>
      </c>
      <c r="F7" s="40">
        <f>E7/C7</f>
        <v/>
      </c>
      <c r="G7" s="39">
        <f>'COGS Detail'!G13</f>
        <v/>
      </c>
      <c r="H7" s="41">
        <f>D7-G7</f>
        <v/>
      </c>
      <c r="I7" s="40">
        <f>H7/D7</f>
        <v/>
      </c>
    </row>
    <row r="8">
      <c r="A8" s="32" t="inlineStr">
        <is>
          <t>2. CONSIGNATIE / TEST-STAND MODEL (25% MARGE VOOR DE ZAAL — BETALING PER VERKOCHT STUK)</t>
        </is>
      </c>
    </row>
    <row r="9">
      <c r="A9" s="37" t="inlineStr">
        <is>
          <t>Single Unit (1x) — Consignatie</t>
        </is>
      </c>
      <c r="B9" s="39" t="n">
        <v>24.95</v>
      </c>
      <c r="C9" s="39">
        <f>B9/1.21</f>
        <v/>
      </c>
      <c r="D9" s="14">
        <f>C9*(1-0.25)</f>
        <v/>
      </c>
      <c r="E9" s="39">
        <f>C9-D9</f>
        <v/>
      </c>
      <c r="F9" s="40">
        <f>E9/C9</f>
        <v/>
      </c>
      <c r="G9" s="39">
        <f>'COGS Detail'!E13</f>
        <v/>
      </c>
      <c r="H9" s="41">
        <f>D9-G9</f>
        <v/>
      </c>
      <c r="I9" s="40">
        <f>H9/D9</f>
        <v/>
      </c>
    </row>
    <row r="10">
      <c r="A10" s="37" t="inlineStr">
        <is>
          <t>Complete Pair (2x) — Consignatie</t>
        </is>
      </c>
      <c r="B10" s="39" t="n">
        <v>44.95</v>
      </c>
      <c r="C10" s="39">
        <f>B10/1.21</f>
        <v/>
      </c>
      <c r="D10" s="14">
        <f>C10*(1-0.25)</f>
        <v/>
      </c>
      <c r="E10" s="39">
        <f>C10-D10</f>
        <v/>
      </c>
      <c r="F10" s="40">
        <f>E10/C10</f>
        <v/>
      </c>
      <c r="G10" s="39">
        <f>'COGS Detail'!G13</f>
        <v/>
      </c>
      <c r="H10" s="41">
        <f>D10-G10</f>
        <v/>
      </c>
      <c r="I10" s="40">
        <f>H10/D10</f>
        <v/>
      </c>
    </row>
    <row r="11"/>
    <row r="12">
      <c r="A12" s="35" t="inlineStr">
        <is>
          <t>3. GYM TOONBANK DISPLAY PACKS (STARTER BUNDELS)</t>
        </is>
      </c>
    </row>
    <row r="13">
      <c r="A13" s="18" t="inlineStr">
        <is>
          <t>Display Pakket</t>
        </is>
      </c>
      <c r="B13" s="18" t="inlineStr">
        <is>
          <t>Inhoud &amp; Specificatie</t>
        </is>
      </c>
      <c r="C13" s="18" t="inlineStr">
        <is>
          <t>B2B Pakketprijs (excl. BTW)</t>
        </is>
      </c>
      <c r="D13" s="18" t="inlineStr">
        <is>
          <t>Winkelwaarde Klanten (incl. BTW)</t>
        </is>
      </c>
      <c r="E13" s="18" t="inlineStr">
        <is>
          <t>Marge Klimzaal (€)</t>
        </is>
      </c>
      <c r="F13" s="18" t="inlineStr">
        <is>
          <t>Totale COGS Fré (€)</t>
        </is>
      </c>
      <c r="G13" s="18" t="inlineStr">
        <is>
          <t>Nettowinst Fré per Pakket (€)</t>
        </is>
      </c>
      <c r="H13" s="18" t="inlineStr">
        <is>
          <t>Nettomarge Fré (%)</t>
        </is>
      </c>
    </row>
    <row r="14">
      <c r="A14" s="37" t="inlineStr">
        <is>
          <t>Starter Gym Display Pack</t>
        </is>
      </c>
      <c r="B14" s="44" t="inlineStr">
        <is>
          <t>4x Pair + 2x Single + 1x Demo Unit + Toonbank Display</t>
        </is>
      </c>
      <c r="C14" s="14" t="n">
        <v>120</v>
      </c>
      <c r="D14" s="39" t="n">
        <v>229.7</v>
      </c>
      <c r="E14" s="39">
        <f>D14/1.21-C14</f>
        <v/>
      </c>
      <c r="F14" s="39">
        <f>(4*'COGS Detail'!G13)+(2*'COGS Detail'!E13)+5.00</f>
        <v/>
      </c>
      <c r="G14" s="41">
        <f>C14-F14</f>
        <v/>
      </c>
      <c r="H14" s="40">
        <f>G14/C14</f>
        <v/>
      </c>
    </row>
    <row r="15">
      <c r="A15" s="37" t="inlineStr">
        <is>
          <t>Pro Gym Restock Pack (10 Pairs)</t>
        </is>
      </c>
      <c r="B15" s="44" t="inlineStr">
        <is>
          <t>10x Complete Pair (inclusief zakjes en guide cards)</t>
        </is>
      </c>
      <c r="C15" s="14" t="n">
        <v>235</v>
      </c>
      <c r="D15" s="39" t="n">
        <v>449.5</v>
      </c>
      <c r="E15" s="39">
        <f>D15/1.21-C15</f>
        <v/>
      </c>
      <c r="F15" s="39">
        <f>10*'COGS Detail'!G13</f>
        <v/>
      </c>
      <c r="G15" s="41">
        <f>C15-F15</f>
        <v/>
      </c>
      <c r="H15" s="40">
        <f>G15/C15</f>
        <v/>
      </c>
    </row>
    <row r="16"/>
    <row r="17">
      <c r="A17" s="32" t="inlineStr">
        <is>
          <t>4. KLIMZALEN SCHAAL-SCENARIO'S (EXTRA MAANDELIJKSE WINST BOVENOP WEBSHOP)</t>
        </is>
      </c>
    </row>
    <row r="18">
      <c r="A18" s="18" t="inlineStr">
        <is>
          <t>Netwerk / Partnerzalen</t>
        </is>
      </c>
      <c r="B18" s="18" t="inlineStr">
        <is>
          <t>Gem. Verkoop per Zaal</t>
        </is>
      </c>
      <c r="C18" s="18" t="inlineStr">
        <is>
          <t>Totaal Pairs / Maand</t>
        </is>
      </c>
      <c r="D18" s="18" t="inlineStr">
        <is>
          <t>B2B Omzet / Maand (excl. BTW)</t>
        </is>
      </c>
      <c r="E18" s="18" t="inlineStr">
        <is>
          <t>COGS Productiekost / Maand</t>
        </is>
      </c>
      <c r="F18" s="18" t="inlineStr">
        <is>
          <t>EXTRA NETTOWINST / MAAND</t>
        </is>
      </c>
      <c r="G18" s="18" t="inlineStr">
        <is>
          <t>EXTRA NETTOWINST / JAAR</t>
        </is>
      </c>
    </row>
    <row r="19">
      <c r="A19" s="37" t="inlineStr">
        <is>
          <t>Piloot (3 partnerzalen: Leuven, Gent, Antwerpen)</t>
        </is>
      </c>
      <c r="B19" s="38" t="inlineStr">
        <is>
          <t>3 pairs / zaal / mnd</t>
        </is>
      </c>
      <c r="C19" s="45" t="n">
        <v>9</v>
      </c>
      <c r="D19" s="39">
        <f>C19*D7</f>
        <v/>
      </c>
      <c r="E19" s="39">
        <f>C19*'COGS Detail'!G13</f>
        <v/>
      </c>
      <c r="F19" s="41">
        <f>D19-E19</f>
        <v/>
      </c>
      <c r="G19" s="41">
        <f>F19*12</f>
        <v/>
      </c>
    </row>
    <row r="20">
      <c r="A20" s="37" t="inlineStr">
        <is>
          <t>Vlaams Netwerk (8 partnerzalen)</t>
        </is>
      </c>
      <c r="B20" s="38" t="inlineStr">
        <is>
          <t>3 pairs / zaal / mnd</t>
        </is>
      </c>
      <c r="C20" s="45" t="n">
        <v>24</v>
      </c>
      <c r="D20" s="39">
        <f>C20*D7</f>
        <v/>
      </c>
      <c r="E20" s="39">
        <f>C20*'COGS Detail'!G13</f>
        <v/>
      </c>
      <c r="F20" s="41">
        <f>D20-E20</f>
        <v/>
      </c>
      <c r="G20" s="41">
        <f>F20*12</f>
        <v/>
      </c>
    </row>
    <row r="21">
      <c r="A21" s="37" t="inlineStr">
        <is>
          <t>Benelux Netwerk (15 partnerzalen)</t>
        </is>
      </c>
      <c r="B21" s="38" t="inlineStr">
        <is>
          <t>4 pairs / zaal / mnd</t>
        </is>
      </c>
      <c r="C21" s="45" t="n">
        <v>60</v>
      </c>
      <c r="D21" s="39">
        <f>C21*D7</f>
        <v/>
      </c>
      <c r="E21" s="39">
        <f>C21*'COGS Detail'!G13</f>
        <v/>
      </c>
      <c r="F21" s="41">
        <f>D21-E21</f>
        <v/>
      </c>
      <c r="G21" s="41">
        <f>F21*12</f>
        <v/>
      </c>
    </row>
  </sheetData>
  <mergeCells count="4">
    <mergeCell ref="A5:I5"/>
    <mergeCell ref="A8:I8"/>
    <mergeCell ref="A12:I12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2026-10-01T11:20:34Z</dcterms:created>
  <dcterms:modified xmlns:dcterms="http://purl.org/dc/terms/" xmlns:xsi="http://www.w3.org/2001/XMLSchema-instance" xsi:type="dcterms:W3CDTF">2026-10-01T11:20:34Z</dcterms:modified>
</cp:coreProperties>
</file>